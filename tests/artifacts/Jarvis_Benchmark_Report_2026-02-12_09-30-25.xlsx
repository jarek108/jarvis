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T" sheetId="1" state="visible" r:id="rId1"/>
    <sheet name="TTS" sheetId="2" state="visible" r:id="rId2"/>
    <sheet name="LLM" sheetId="3" state="visible" r:id="rId3"/>
    <sheet name="VLM" sheetId="4" state="visible" r:id="rId4"/>
    <sheet name="S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9" customWidth="1" min="1" max="1"/>
    <col width="21" customWidth="1" min="2" max="2"/>
    <col width="8" customWidth="1" min="3" max="3"/>
    <col width="59" customWidth="1" min="4" max="4"/>
    <col width="100" customWidth="1" min="5" max="5"/>
    <col width="13" customWidth="1" min="6" max="6"/>
    <col width="21" customWidth="1" min="7" max="7"/>
    <col width="78" customWidth="1" min="8" max="8"/>
  </cols>
  <sheetData>
    <row r="1">
      <c r="A1" s="1" t="inlineStr">
        <is>
          <t>Loadout</t>
        </is>
      </c>
      <c r="B1" s="1" t="inlineStr">
        <is>
          <t>Scenario</t>
        </is>
      </c>
      <c r="C1" s="1" t="inlineStr">
        <is>
          <t>Status</t>
        </is>
      </c>
      <c r="D1" s="1" t="inlineStr">
        <is>
          <t>Input Text</t>
        </is>
      </c>
      <c r="E1" s="1" t="inlineStr">
        <is>
          <t>Input Link</t>
        </is>
      </c>
      <c r="F1" s="1" t="inlineStr">
        <is>
          <t>Output Link</t>
        </is>
      </c>
      <c r="G1" s="1" t="inlineStr">
        <is>
          <t>Duration (s)</t>
        </is>
      </c>
      <c r="H1" s="1" t="inlineStr">
        <is>
          <t>Result</t>
        </is>
      </c>
    </row>
    <row r="2">
      <c r="A2" t="inlineStr">
        <is>
          <t>base-qwen30-multi</t>
        </is>
      </c>
      <c r="B2" t="inlineStr">
        <is>
          <t>Polish, implicit</t>
        </is>
      </c>
      <c r="C2" t="inlineStr">
        <is>
          <t>PASSED</t>
        </is>
      </c>
      <c r="D2" t="inlineStr">
        <is>
          <t>Cześć, nazywam się Jarvis. Jak mogę Ci dzisiaj pomóc?</t>
        </is>
      </c>
      <c r="E2">
        <f>HYPERLINK("https://drive.google.com/file/d/1zhM0HnGnRI00dAMzL00eLHphe4Imt1Xk/view?usp=drivesdk", "Open")</f>
        <v/>
      </c>
      <c r="F2" t="inlineStr"/>
      <c r="G2" t="n">
        <v>0.1372492000082275</v>
      </c>
      <c r="H2" t="inlineStr">
        <is>
          <t>Match: 90.6% | [Cze??, nazywam si? Jarbis, jed mog? ci dzisiaj pom?c.]</t>
        </is>
      </c>
    </row>
    <row r="3">
      <c r="A3" t="inlineStr">
        <is>
          <t>base-qwen30-multi</t>
        </is>
      </c>
      <c r="B3" t="inlineStr">
        <is>
          <t>Polish, explicit</t>
        </is>
      </c>
      <c r="C3" t="inlineStr">
        <is>
          <t>PASSED</t>
        </is>
      </c>
      <c r="D3" t="inlineStr">
        <is>
          <t>Cześć, nazywam się Jarvis. Jak mogę Ci dzisiaj pomóc?</t>
        </is>
      </c>
      <c r="E3">
        <f>HYPERLINK("https://drive.google.com/file/d/1zhM0HnGnRI00dAMzL00eLHphe4Imt1Xk/view?usp=drivesdk", "Open")</f>
        <v/>
      </c>
      <c r="F3" t="inlineStr"/>
      <c r="G3" t="n">
        <v>0.1042347999900812</v>
      </c>
      <c r="H3" t="inlineStr">
        <is>
          <t>Match: 90.6% | [Cze??, nazywam si? Jarbis, jed mog? ci dzisiaj pom?c.]</t>
        </is>
      </c>
    </row>
    <row r="4">
      <c r="A4" t="inlineStr">
        <is>
          <t>base-qwen30-multi</t>
        </is>
      </c>
      <c r="B4" t="inlineStr">
        <is>
          <t>Polish, misleading</t>
        </is>
      </c>
      <c r="C4" t="inlineStr">
        <is>
          <t>PASSED</t>
        </is>
      </c>
      <c r="D4" t="inlineStr">
        <is>
          <t>Cześć, nazywam się Jarvis. Jak mogę Ci dzisiaj pomóc?</t>
        </is>
      </c>
      <c r="E4">
        <f>HYPERLINK("https://drive.google.com/file/d/1zhM0HnGnRI00dAMzL00eLHphe4Imt1Xk/view?usp=drivesdk", "Open")</f>
        <v/>
      </c>
      <c r="F4" t="inlineStr"/>
      <c r="G4" t="n">
        <v>0.09782959999574814</v>
      </c>
      <c r="H4" t="inlineStr">
        <is>
          <t>Match: 26.4% | [Hi, I'm Rbys and I can help you today.]</t>
        </is>
      </c>
    </row>
    <row r="5">
      <c r="A5" t="inlineStr">
        <is>
          <t>base-qwen30-multi</t>
        </is>
      </c>
      <c r="B5" t="inlineStr">
        <is>
          <t>French, implicit</t>
        </is>
      </c>
      <c r="C5" t="inlineStr">
        <is>
          <t>PASSED</t>
        </is>
      </c>
      <c r="D5" t="inlineStr">
        <is>
          <t>Bonjour, je m'appelle Jarvis. Comment puis-je vous aider?</t>
        </is>
      </c>
      <c r="E5">
        <f>HYPERLINK("https://drive.google.com/file/d/1D9d24tSMzjEr8CLDtm3myt7putNRcyfk/view?usp=drivesdk", "Open")</f>
        <v/>
      </c>
      <c r="F5" t="inlineStr"/>
      <c r="G5" t="n">
        <v>0.6363822999992408</v>
      </c>
      <c r="H5" t="inlineStr">
        <is>
          <t>Match: 50.5% | [Oh, sure, so my bad Jarvis, come on, push with it, eh?]</t>
        </is>
      </c>
    </row>
    <row r="6">
      <c r="A6" t="inlineStr">
        <is>
          <t>base-qwen30-multi</t>
        </is>
      </c>
      <c r="B6" t="inlineStr">
        <is>
          <t>French, explicit</t>
        </is>
      </c>
      <c r="C6" t="inlineStr">
        <is>
          <t>PASSED</t>
        </is>
      </c>
      <c r="D6" t="inlineStr">
        <is>
          <t>Bonjour, je m'appelle Jarvis. Comment puis-je vous aider?</t>
        </is>
      </c>
      <c r="E6">
        <f>HYPERLINK("https://drive.google.com/file/d/1D9d24tSMzjEr8CLDtm3myt7putNRcyfk/view?usp=drivesdk", "Open")</f>
        <v/>
      </c>
      <c r="F6" t="inlineStr"/>
      <c r="G6" t="n">
        <v>0.207367000009981</v>
      </c>
      <c r="H6" t="inlineStr">
        <is>
          <t>Match: 74.1% | [Bonjour, je m'appelle Jarvis. C'est pas un peu plus d'id?e.]</t>
        </is>
      </c>
    </row>
    <row r="7">
      <c r="A7" t="inlineStr">
        <is>
          <t>base-qwen30-multi</t>
        </is>
      </c>
      <c r="B7" t="inlineStr">
        <is>
          <t>French, misleading</t>
        </is>
      </c>
      <c r="C7" t="inlineStr">
        <is>
          <t>PASSED</t>
        </is>
      </c>
      <c r="D7" t="inlineStr">
        <is>
          <t>Bonjour, je m'appelle Jarvis. Comment puis-je vous aider?</t>
        </is>
      </c>
      <c r="E7">
        <f>HYPERLINK("https://drive.google.com/file/d/1D9d24tSMzjEr8CLDtm3myt7putNRcyfk/view?usp=drivesdk", "Open")</f>
        <v/>
      </c>
      <c r="F7" t="inlineStr"/>
      <c r="G7" t="n">
        <v>0.293062299999292</v>
      </c>
      <c r="H7" t="inlineStr">
        <is>
          <t>Match: 34.5% | [Hello George, I'm a bad jar beast. Come up here with a day.]</t>
        </is>
      </c>
    </row>
    <row r="8">
      <c r="A8" t="inlineStr">
        <is>
          <t>base-qwen30-multi</t>
        </is>
      </c>
      <c r="B8" t="inlineStr">
        <is>
          <t>Chinese, implicit</t>
        </is>
      </c>
      <c r="C8" t="inlineStr">
        <is>
          <t>PASSED</t>
        </is>
      </c>
      <c r="D8" t="inlineStr">
        <is>
          <t>你好，我叫贾维斯。我今天能为您做什么？</t>
        </is>
      </c>
      <c r="E8">
        <f>HYPERLINK("https://drive.google.com/file/d/1Ao40iv-sGJI1mYlLeq5BXc4WYEWhoNQm/view?usp=drivesdk", "Open")</f>
        <v/>
      </c>
      <c r="F8" t="inlineStr"/>
      <c r="G8" t="n">
        <v>0.1158299000089755</v>
      </c>
      <c r="H8" t="inlineStr">
        <is>
          <t>Match: 73.7% | [??,?????,??????????]</t>
        </is>
      </c>
    </row>
    <row r="9">
      <c r="A9" t="inlineStr">
        <is>
          <t>base-qwen30-multi</t>
        </is>
      </c>
      <c r="B9" t="inlineStr">
        <is>
          <t>Chinese, explicit</t>
        </is>
      </c>
      <c r="C9" t="inlineStr">
        <is>
          <t>PASSED</t>
        </is>
      </c>
      <c r="D9" t="inlineStr">
        <is>
          <t>你好，我叫贾维斯。我今天能为您做什么？</t>
        </is>
      </c>
      <c r="E9">
        <f>HYPERLINK("https://drive.google.com/file/d/1Ao40iv-sGJI1mYlLeq5BXc4WYEWhoNQm/view?usp=drivesdk", "Open")</f>
        <v/>
      </c>
      <c r="F9" t="inlineStr"/>
      <c r="G9" t="n">
        <v>0.1102784999966389</v>
      </c>
      <c r="H9" t="inlineStr">
        <is>
          <t>Match: 73.7% | [??,?????,??????????]</t>
        </is>
      </c>
    </row>
    <row r="10">
      <c r="A10" t="inlineStr">
        <is>
          <t>base-qwen30-multi</t>
        </is>
      </c>
      <c r="B10" t="inlineStr">
        <is>
          <t>Chinese, misleading</t>
        </is>
      </c>
      <c r="C10" t="inlineStr">
        <is>
          <t>PASSED</t>
        </is>
      </c>
      <c r="D10" t="inlineStr">
        <is>
          <t>你好，我叫贾维斯。我今天能为您做什么？</t>
        </is>
      </c>
      <c r="E10">
        <f>HYPERLINK("https://drive.google.com/file/d/1Ao40iv-sGJI1mYlLeq5BXc4WYEWhoNQm/view?usp=drivesdk", "Open")</f>
        <v/>
      </c>
      <c r="F10" t="inlineStr"/>
      <c r="G10" t="n">
        <v>0.1178422999946633</v>
      </c>
      <c r="H10" t="inlineStr">
        <is>
          <t>Match: 0.0% | [Hello, my name is Jia Wei Si, what can I do for you today?]</t>
        </is>
      </c>
    </row>
    <row r="11">
      <c r="A11" t="inlineStr">
        <is>
          <t>base-qwen30-multi</t>
        </is>
      </c>
      <c r="B11" t="inlineStr">
        <is>
          <t>English, implicit</t>
        </is>
      </c>
      <c r="C11" t="inlineStr">
        <is>
          <t>PASSED</t>
        </is>
      </c>
      <c r="D11" t="inlineStr">
        <is>
          <t>Hello, this is a test of Tatterbox TTS.</t>
        </is>
      </c>
      <c r="E11">
        <f>HYPERLINK("https://drive.google.com/file/d/1ZjvyYysBn8ppkK3Siyr6uK2WTZSJ4grj/view?usp=drivesdk", "Open")</f>
        <v/>
      </c>
      <c r="F11" t="inlineStr"/>
      <c r="G11" t="n">
        <v>0.1062751999998</v>
      </c>
      <c r="H11" t="inlineStr">
        <is>
          <t>Match: 100.0% | [Hello, this is a test of Tatterbox TTS.]</t>
        </is>
      </c>
    </row>
    <row r="12">
      <c r="A12" t="inlineStr">
        <is>
          <t>base-qwen30-multi</t>
        </is>
      </c>
      <c r="B12" t="inlineStr">
        <is>
          <t>English, explicit</t>
        </is>
      </c>
      <c r="C12" t="inlineStr">
        <is>
          <t>PASSED</t>
        </is>
      </c>
      <c r="D12" t="inlineStr">
        <is>
          <t>Hello, this is a test of Tatterbox TTS.</t>
        </is>
      </c>
      <c r="E12">
        <f>HYPERLINK("https://drive.google.com/file/d/1ZjvyYysBn8ppkK3Siyr6uK2WTZSJ4grj/view?usp=drivesdk", "Open")</f>
        <v/>
      </c>
      <c r="F12" t="inlineStr"/>
      <c r="G12" t="n">
        <v>0.1126896000059787</v>
      </c>
      <c r="H12" t="inlineStr">
        <is>
          <t>Match: 100.0% | [Hello, this is a test of Tatterbox TTS.]</t>
        </is>
      </c>
    </row>
    <row r="13">
      <c r="A13" t="inlineStr">
        <is>
          <t>base-qwen30-multi</t>
        </is>
      </c>
      <c r="B13" t="inlineStr">
        <is>
          <t>English, misleading</t>
        </is>
      </c>
      <c r="C13" t="inlineStr">
        <is>
          <t>PASSED</t>
        </is>
      </c>
      <c r="D13" t="inlineStr">
        <is>
          <t>Hello, this is a test of Tatterbox TTS.</t>
        </is>
      </c>
      <c r="E13">
        <f>HYPERLINK("https://drive.google.com/file/d/1ZjvyYysBn8ppkK3Siyr6uK2WTZSJ4grj/view?usp=drivesdk", "Open")</f>
        <v/>
      </c>
      <c r="F13" t="inlineStr"/>
      <c r="G13" t="n">
        <v>0.1029885000025388</v>
      </c>
      <c r="H13" t="inlineStr">
        <is>
          <t>Match: 100.0% | [Hello, this is a test of Tatterbox TTS.]</t>
        </is>
      </c>
    </row>
    <row r="14">
      <c r="A14" t="inlineStr">
        <is>
          <t>tiny-gpt20-turbo</t>
        </is>
      </c>
      <c r="B14" t="inlineStr">
        <is>
          <t>Polish, implicit</t>
        </is>
      </c>
      <c r="C14" t="inlineStr">
        <is>
          <t>PASSED</t>
        </is>
      </c>
      <c r="D14" t="inlineStr">
        <is>
          <t>Cześć, nazywam się Jarvis. Jak mogę Ci dzisiaj pomóc?</t>
        </is>
      </c>
      <c r="E14">
        <f>HYPERLINK("https://drive.google.com/file/d/1zhM0HnGnRI00dAMzL00eLHphe4Imt1Xk/view?usp=drivesdk", "Open")</f>
        <v/>
      </c>
      <c r="F14" t="inlineStr"/>
      <c r="G14" t="n">
        <v>0.1229152000014437</v>
      </c>
      <c r="H14" t="inlineStr">
        <is>
          <t>Match: 83.8% | [Cze??, nazywam si? Jarbyz, jedmog? ci dzisiaj pom?d.]</t>
        </is>
      </c>
    </row>
    <row r="15">
      <c r="A15" t="inlineStr">
        <is>
          <t>tiny-gpt20-turbo</t>
        </is>
      </c>
      <c r="B15" t="inlineStr">
        <is>
          <t>Polish, explicit</t>
        </is>
      </c>
      <c r="C15" t="inlineStr">
        <is>
          <t>PASSED</t>
        </is>
      </c>
      <c r="D15" t="inlineStr">
        <is>
          <t>Cześć, nazywam się Jarvis. Jak mogę Ci dzisiaj pomóc?</t>
        </is>
      </c>
      <c r="E15">
        <f>HYPERLINK("https://drive.google.com/file/d/1zhM0HnGnRI00dAMzL00eLHphe4Imt1Xk/view?usp=drivesdk", "Open")</f>
        <v/>
      </c>
      <c r="F15" t="inlineStr"/>
      <c r="G15" t="n">
        <v>0.09221129999787081</v>
      </c>
      <c r="H15" t="inlineStr">
        <is>
          <t>Match: 83.8% | [Cze??, nazywam si? Jarbyz, jedmog? ci dzisiaj pom?d.]</t>
        </is>
      </c>
    </row>
    <row r="16">
      <c r="A16" t="inlineStr">
        <is>
          <t>tiny-gpt20-turbo</t>
        </is>
      </c>
      <c r="B16" t="inlineStr">
        <is>
          <t>Polish, misleading</t>
        </is>
      </c>
      <c r="C16" t="inlineStr">
        <is>
          <t>PASSED</t>
        </is>
      </c>
      <c r="D16" t="inlineStr">
        <is>
          <t>Cześć, nazywam się Jarvis. Jak mogę Ci dzisiaj pomóc?</t>
        </is>
      </c>
      <c r="E16">
        <f>HYPERLINK("https://drive.google.com/file/d/1zhM0HnGnRI00dAMzL00eLHphe4Imt1Xk/view?usp=drivesdk", "Open")</f>
        <v/>
      </c>
      <c r="F16" t="inlineStr"/>
      <c r="G16" t="n">
        <v>0.4299777999985963</v>
      </c>
      <c r="H16" t="inlineStr">
        <is>
          <t>Match: 22.5% | [Bye! See you soon!]</t>
        </is>
      </c>
    </row>
    <row r="17">
      <c r="A17" t="inlineStr">
        <is>
          <t>tiny-gpt20-turbo</t>
        </is>
      </c>
      <c r="B17" t="inlineStr">
        <is>
          <t>French, implicit</t>
        </is>
      </c>
      <c r="C17" t="inlineStr">
        <is>
          <t>PASSED</t>
        </is>
      </c>
      <c r="D17" t="inlineStr">
        <is>
          <t>Bonjour, je m'appelle Jarvis. Comment puis-je vous aider?</t>
        </is>
      </c>
      <c r="E17">
        <f>HYPERLINK("https://drive.google.com/file/d/1D9d24tSMzjEr8CLDtm3myt7putNRcyfk/view?usp=drivesdk", "Open")</f>
        <v/>
      </c>
      <c r="F17" t="inlineStr"/>
      <c r="G17" t="n">
        <v>0.1616603000002215</v>
      </c>
      <c r="H17" t="inlineStr">
        <is>
          <t>Match: 41.1% | [No jewelry, so my best job is, come up with a day.]</t>
        </is>
      </c>
    </row>
    <row r="18">
      <c r="A18" t="inlineStr">
        <is>
          <t>tiny-gpt20-turbo</t>
        </is>
      </c>
      <c r="B18" t="inlineStr">
        <is>
          <t>French, explicit</t>
        </is>
      </c>
      <c r="C18" t="inlineStr">
        <is>
          <t>PASSED</t>
        </is>
      </c>
      <c r="D18" t="inlineStr">
        <is>
          <t>Bonjour, je m'appelle Jarvis. Comment puis-je vous aider?</t>
        </is>
      </c>
      <c r="E18">
        <f>HYPERLINK("https://drive.google.com/file/d/1D9d24tSMzjEr8CLDtm3myt7putNRcyfk/view?usp=drivesdk", "Open")</f>
        <v/>
      </c>
      <c r="F18" t="inlineStr"/>
      <c r="G18" t="n">
        <v>0.09967850000248291</v>
      </c>
      <c r="H18" t="inlineStr">
        <is>
          <t>Match: 86.0% | [Bonjour, je m'appelle Jarvis, comme un pujouz-vous aider.]</t>
        </is>
      </c>
    </row>
    <row r="19">
      <c r="A19" t="inlineStr">
        <is>
          <t>tiny-gpt20-turbo</t>
        </is>
      </c>
      <c r="B19" t="inlineStr">
        <is>
          <t>French, misleading</t>
        </is>
      </c>
      <c r="C19" t="inlineStr">
        <is>
          <t>PASSED</t>
        </is>
      </c>
      <c r="D19" t="inlineStr">
        <is>
          <t>Bonjour, je m'appelle Jarvis. Comment puis-je vous aider?</t>
        </is>
      </c>
      <c r="E19">
        <f>HYPERLINK("https://drive.google.com/file/d/1D9d24tSMzjEr8CLDtm3myt7putNRcyfk/view?usp=drivesdk", "Open")</f>
        <v/>
      </c>
      <c r="F19" t="inlineStr"/>
      <c r="G19" t="n">
        <v>0.4683116000087466</v>
      </c>
      <c r="H19" t="inlineStr">
        <is>
          <t>Match: 39.7% | [No jewelry, so my best jar of yeast. Come up with your day.]</t>
        </is>
      </c>
    </row>
    <row r="20">
      <c r="A20" t="inlineStr">
        <is>
          <t>tiny-gpt20-turbo</t>
        </is>
      </c>
      <c r="B20" t="inlineStr">
        <is>
          <t>Chinese, implicit</t>
        </is>
      </c>
      <c r="C20" t="inlineStr">
        <is>
          <t>PASSED</t>
        </is>
      </c>
      <c r="D20" t="inlineStr">
        <is>
          <t>你好，我叫贾维斯。我今天能为您做什么？</t>
        </is>
      </c>
      <c r="E20">
        <f>HYPERLINK("https://drive.google.com/file/d/1Ao40iv-sGJI1mYlLeq5BXc4WYEWhoNQm/view?usp=drivesdk", "Open")</f>
        <v/>
      </c>
      <c r="F20" t="inlineStr"/>
      <c r="G20" t="n">
        <v>0.1198503999912646</v>
      </c>
      <c r="H20" t="inlineStr">
        <is>
          <t>Match: 81.1% | [??,?????,?????????]</t>
        </is>
      </c>
    </row>
    <row r="21">
      <c r="A21" t="inlineStr">
        <is>
          <t>tiny-gpt20-turbo</t>
        </is>
      </c>
      <c r="B21" t="inlineStr">
        <is>
          <t>Chinese, explicit</t>
        </is>
      </c>
      <c r="C21" t="inlineStr">
        <is>
          <t>PASSED</t>
        </is>
      </c>
      <c r="D21" t="inlineStr">
        <is>
          <t>你好，我叫贾维斯。我今天能为您做什么？</t>
        </is>
      </c>
      <c r="E21">
        <f>HYPERLINK("https://drive.google.com/file/d/1Ao40iv-sGJI1mYlLeq5BXc4WYEWhoNQm/view?usp=drivesdk", "Open")</f>
        <v/>
      </c>
      <c r="F21" t="inlineStr"/>
      <c r="G21" t="n">
        <v>0.09977420000359416</v>
      </c>
      <c r="H21" t="inlineStr">
        <is>
          <t>Match: 81.1% | [??,?????,?????????]</t>
        </is>
      </c>
    </row>
    <row r="22">
      <c r="A22" t="inlineStr">
        <is>
          <t>tiny-gpt20-turbo</t>
        </is>
      </c>
      <c r="B22" t="inlineStr">
        <is>
          <t>Chinese, misleading</t>
        </is>
      </c>
      <c r="C22" t="inlineStr">
        <is>
          <t>PASSED</t>
        </is>
      </c>
      <c r="D22" t="inlineStr">
        <is>
          <t>你好，我叫贾维斯。我今天能为您做什么？</t>
        </is>
      </c>
      <c r="E22">
        <f>HYPERLINK("https://drive.google.com/file/d/1Ao40iv-sGJI1mYlLeq5BXc4WYEWhoNQm/view?usp=drivesdk", "Open")</f>
        <v/>
      </c>
      <c r="F22" t="inlineStr"/>
      <c r="G22" t="n">
        <v>0.114607800001977</v>
      </c>
      <c r="H22" t="inlineStr">
        <is>
          <t>Match: 0.0% | [Hello, I'm Jjavay Si, I can do what you do today.]</t>
        </is>
      </c>
    </row>
    <row r="23">
      <c r="A23" t="inlineStr">
        <is>
          <t>tiny-gpt20-turbo</t>
        </is>
      </c>
      <c r="B23" t="inlineStr">
        <is>
          <t>English, implicit</t>
        </is>
      </c>
      <c r="C23" t="inlineStr">
        <is>
          <t>PASSED</t>
        </is>
      </c>
      <c r="D23" t="inlineStr">
        <is>
          <t>Hello, this is a test of Tatterbox TTS.</t>
        </is>
      </c>
      <c r="E23">
        <f>HYPERLINK("https://drive.google.com/file/d/1ZjvyYysBn8ppkK3Siyr6uK2WTZSJ4grj/view?usp=drivesdk", "Open")</f>
        <v/>
      </c>
      <c r="F23" t="inlineStr"/>
      <c r="G23" t="n">
        <v>0.1159155999921495</v>
      </c>
      <c r="H23" t="inlineStr">
        <is>
          <t>Match: 96.1% | [Hello, this is a test of Tatarbox TTS.]</t>
        </is>
      </c>
    </row>
    <row r="24">
      <c r="A24" t="inlineStr">
        <is>
          <t>tiny-gpt20-turbo</t>
        </is>
      </c>
      <c r="B24" t="inlineStr">
        <is>
          <t>English, explicit</t>
        </is>
      </c>
      <c r="C24" t="inlineStr">
        <is>
          <t>PASSED</t>
        </is>
      </c>
      <c r="D24" t="inlineStr">
        <is>
          <t>Hello, this is a test of Tatterbox TTS.</t>
        </is>
      </c>
      <c r="E24">
        <f>HYPERLINK("https://drive.google.com/file/d/1ZjvyYysBn8ppkK3Siyr6uK2WTZSJ4grj/view?usp=drivesdk", "Open")</f>
        <v/>
      </c>
      <c r="F24" t="inlineStr"/>
      <c r="G24" t="n">
        <v>0.09820789999503177</v>
      </c>
      <c r="H24" t="inlineStr">
        <is>
          <t>Match: 96.1% | [Hello, this is a test of Tatarbox TTS.]</t>
        </is>
      </c>
    </row>
    <row r="25">
      <c r="A25" t="inlineStr">
        <is>
          <t>tiny-gpt20-turbo</t>
        </is>
      </c>
      <c r="B25" t="inlineStr">
        <is>
          <t>English, misleading</t>
        </is>
      </c>
      <c r="C25" t="inlineStr">
        <is>
          <t>PASSED</t>
        </is>
      </c>
      <c r="D25" t="inlineStr">
        <is>
          <t>Hello, this is a test of Tatterbox TTS.</t>
        </is>
      </c>
      <c r="E25">
        <f>HYPERLINK("https://drive.google.com/file/d/1ZjvyYysBn8ppkK3Siyr6uK2WTZSJ4grj/view?usp=drivesdk", "Open")</f>
        <v/>
      </c>
      <c r="F25" t="inlineStr"/>
      <c r="G25" t="n">
        <v>0.1172786999959499</v>
      </c>
      <c r="H25" t="inlineStr">
        <is>
          <t>Match: 63.2% | [Alors, c'est un test de Tadurbox TTS.]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9" customWidth="1" min="1" max="1"/>
    <col width="19" customWidth="1" min="2" max="2"/>
    <col width="8" customWidth="1" min="3" max="3"/>
    <col width="80" customWidth="1" min="4" max="4"/>
    <col width="12" customWidth="1" min="5" max="5"/>
    <col width="100" customWidth="1" min="6" max="6"/>
    <col width="20" customWidth="1" min="7" max="7"/>
    <col width="70" customWidth="1" min="8" max="8"/>
  </cols>
  <sheetData>
    <row r="1">
      <c r="A1" s="1" t="inlineStr">
        <is>
          <t>Loadout</t>
        </is>
      </c>
      <c r="B1" s="1" t="inlineStr">
        <is>
          <t>Scenario</t>
        </is>
      </c>
      <c r="C1" s="1" t="inlineStr">
        <is>
          <t>Status</t>
        </is>
      </c>
      <c r="D1" s="1" t="inlineStr">
        <is>
          <t>Input Text</t>
        </is>
      </c>
      <c r="E1" s="1" t="inlineStr">
        <is>
          <t>Input Link</t>
        </is>
      </c>
      <c r="F1" s="1" t="inlineStr">
        <is>
          <t>Output Link</t>
        </is>
      </c>
      <c r="G1" s="1" t="inlineStr">
        <is>
          <t>Duration (s)</t>
        </is>
      </c>
      <c r="H1" s="1" t="inlineStr">
        <is>
          <t>Result</t>
        </is>
      </c>
    </row>
    <row r="2">
      <c r="A2" t="inlineStr">
        <is>
          <t>base-qwen30-multi</t>
        </is>
      </c>
      <c r="B2" t="inlineStr">
        <is>
          <t>standard</t>
        </is>
      </c>
      <c r="C2" t="inlineStr">
        <is>
          <t>PASSED</t>
        </is>
      </c>
      <c r="D2" t="inlineStr">
        <is>
          <t>Hello, I am Jarvis. How can I assist you today?</t>
        </is>
      </c>
      <c r="E2" t="inlineStr"/>
      <c r="F2">
        <f>HYPERLINK("https://drive.google.com/file/d/1HblpQ3cl3-S8aqo6RgEL3iwziiGdKH7T/view?usp=drivesdk", "Open")</f>
        <v/>
      </c>
      <c r="G2" t="n">
        <v>2.873012299998663</v>
      </c>
      <c r="H2" t="inlineStr">
        <is>
          <t>tts\chatterbox\results\chatterbox-multilingual_standard.wav</t>
        </is>
      </c>
    </row>
    <row r="3">
      <c r="A3" t="inlineStr">
        <is>
          <t>base-qwen30-multi</t>
        </is>
      </c>
      <c r="B3" t="inlineStr">
        <is>
          <t>polish</t>
        </is>
      </c>
      <c r="C3" t="inlineStr">
        <is>
          <t>PASSED</t>
        </is>
      </c>
      <c r="D3" t="inlineStr">
        <is>
          <t>Cześć, nazywam się Jarvis. Jak mogę Ci dzisiaj pomóc?</t>
        </is>
      </c>
      <c r="E3" t="inlineStr"/>
      <c r="F3">
        <f>HYPERLINK("https://drive.google.com/file/d/17Jsqb1DctohhiFuh1H1BDPyfUDXHys4u/view?usp=drivesdk", "Open")</f>
        <v/>
      </c>
      <c r="G3" t="n">
        <v>2.351782300000195</v>
      </c>
      <c r="H3" t="inlineStr">
        <is>
          <t>tts\chatterbox\results\chatterbox-multilingual_polish.wav</t>
        </is>
      </c>
    </row>
    <row r="4">
      <c r="A4" t="inlineStr">
        <is>
          <t>base-qwen30-multi</t>
        </is>
      </c>
      <c r="B4" t="inlineStr">
        <is>
          <t>french</t>
        </is>
      </c>
      <c r="C4" t="inlineStr">
        <is>
          <t>PASSED</t>
        </is>
      </c>
      <c r="D4" t="inlineStr">
        <is>
          <t>Bonjour, je m'appelle Jarvis. Comment puis-je vous aider?</t>
        </is>
      </c>
      <c r="E4" t="inlineStr"/>
      <c r="F4">
        <f>HYPERLINK("https://drive.google.com/file/d/1K5SO72KOOVVMrSZEkv8mWUSSbxNvXnGa/view?usp=drivesdk", "Open")</f>
        <v/>
      </c>
      <c r="G4" t="n">
        <v>3.195151599997189</v>
      </c>
      <c r="H4" t="inlineStr">
        <is>
          <t>tts\chatterbox\results\chatterbox-multilingual_french.wav</t>
        </is>
      </c>
    </row>
    <row r="5">
      <c r="A5" t="inlineStr">
        <is>
          <t>base-qwen30-multi</t>
        </is>
      </c>
      <c r="B5" t="inlineStr">
        <is>
          <t>chinese</t>
        </is>
      </c>
      <c r="C5" t="inlineStr">
        <is>
          <t>PASSED</t>
        </is>
      </c>
      <c r="D5" t="inlineStr">
        <is>
          <t>你好，我叫贾维斯。我今天能为您做什么？</t>
        </is>
      </c>
      <c r="E5" t="inlineStr"/>
      <c r="F5">
        <f>HYPERLINK("https://drive.google.com/file/d/1v1wXQp38vjXWHEvJaQi29ZEntq7DKr20/view?usp=drivesdk", "Open")</f>
        <v/>
      </c>
      <c r="G5" t="n">
        <v>2.83412829998997</v>
      </c>
      <c r="H5" t="inlineStr">
        <is>
          <t>tts\chatterbox\results\chatterbox-multilingual_chinese.wav</t>
        </is>
      </c>
    </row>
    <row r="6">
      <c r="A6" t="inlineStr">
        <is>
          <t>base-qwen30-multi</t>
        </is>
      </c>
      <c r="B6" t="inlineStr">
        <is>
          <t>implicit_excited</t>
        </is>
      </c>
      <c r="C6" t="inlineStr">
        <is>
          <t>PASSED</t>
        </is>
      </c>
      <c r="D6" t="inlineStr">
        <is>
          <t>Oh my god! This Blackwell architecture is incredible! Everything is so fast!!!</t>
        </is>
      </c>
      <c r="E6" t="inlineStr"/>
      <c r="F6">
        <f>HYPERLINK("https://drive.google.com/file/d/1XArcTtYWwo3HK4uMNG7byFfY-mcU-fmX/view?usp=drivesdk", "Open")</f>
        <v/>
      </c>
      <c r="G6" t="n">
        <v>4.228230399996391</v>
      </c>
      <c r="H6" t="inlineStr">
        <is>
          <t>tts\chatterbox\results\chatterbox-multilingual_implicit_excited.wav</t>
        </is>
      </c>
    </row>
    <row r="7">
      <c r="A7" t="inlineStr">
        <is>
          <t>base-qwen30-multi</t>
        </is>
      </c>
      <c r="B7" t="inlineStr">
        <is>
          <t>implicit_serious</t>
        </is>
      </c>
      <c r="C7" t="inlineStr">
        <is>
          <t>PASSED</t>
        </is>
      </c>
      <c r="D7" t="inlineStr">
        <is>
          <t>The system will undergo maintenance in ten minutes. Please save your work.</t>
        </is>
      </c>
      <c r="E7" t="inlineStr"/>
      <c r="F7">
        <f>HYPERLINK("https://drive.google.com/file/d/1b49jrqHJJRa8Df-ZLSJloIs4bQgRhK6S/view?usp=drivesdk", "Open")</f>
        <v/>
      </c>
      <c r="G7" t="n">
        <v>2.544843399999081</v>
      </c>
      <c r="H7" t="inlineStr">
        <is>
          <t>tts\chatterbox\results\chatterbox-multilingual_implicit_serious.wav</t>
        </is>
      </c>
    </row>
    <row r="8">
      <c r="A8" t="inlineStr">
        <is>
          <t>base-qwen30-multi</t>
        </is>
      </c>
      <c r="B8" t="inlineStr">
        <is>
          <t>implicit_hesitant</t>
        </is>
      </c>
      <c r="C8" t="inlineStr">
        <is>
          <t>PASSED</t>
        </is>
      </c>
      <c r="D8" t="inlineStr">
        <is>
          <t>I... I'm not quite sure if that's the right direction, but... we can try.</t>
        </is>
      </c>
      <c r="E8" t="inlineStr"/>
      <c r="F8">
        <f>HYPERLINK("https://drive.google.com/file/d/1huNdZwSAAvexcroQLwHe_mlH-hjRTLEm/view?usp=drivesdk", "Open")</f>
        <v/>
      </c>
      <c r="G8" t="n">
        <v>2.818372100009583</v>
      </c>
      <c r="H8" t="inlineStr">
        <is>
          <t>tts\chatterbox\results\chatterbox-multilingual_implicit_hesitant.wav</t>
        </is>
      </c>
    </row>
    <row r="9">
      <c r="A9" t="inlineStr">
        <is>
          <t>base-qwen30-multi</t>
        </is>
      </c>
      <c r="B9" t="inlineStr">
        <is>
          <t>explicit_laugh</t>
        </is>
      </c>
      <c r="C9" t="inlineStr">
        <is>
          <t>PASSED</t>
        </is>
      </c>
      <c r="D9" t="inlineStr">
        <is>
          <t>[laugh] That is actually very funny! I didn't see that coming.</t>
        </is>
      </c>
      <c r="E9" t="inlineStr"/>
      <c r="F9">
        <f>HYPERLINK("https://drive.google.com/file/d/1TmLrzkEJoIlGv-EHfrEpiutFRA8BPlXi/view?usp=drivesdk", "Open")</f>
        <v/>
      </c>
      <c r="G9" t="n">
        <v>3.195620200000121</v>
      </c>
      <c r="H9" t="inlineStr">
        <is>
          <t>tts\chatterbox\results\chatterbox-multilingual_explicit_laugh.wav</t>
        </is>
      </c>
    </row>
    <row r="10">
      <c r="A10" t="inlineStr">
        <is>
          <t>base-qwen30-multi</t>
        </is>
      </c>
      <c r="B10" t="inlineStr">
        <is>
          <t>explicit_cough</t>
        </is>
      </c>
      <c r="C10" t="inlineStr">
        <is>
          <t>PASSED</t>
        </is>
      </c>
      <c r="D10" t="inlineStr">
        <is>
          <t>[cough] Excuse me, the server room is a bit dusty today.</t>
        </is>
      </c>
      <c r="E10" t="inlineStr"/>
      <c r="F10">
        <f>HYPERLINK("https://drive.google.com/file/d/1Q4S-kyaem6sf-eK5W9nr6NpWGVCn4zUo/view?usp=drivesdk", "Open")</f>
        <v/>
      </c>
      <c r="G10" t="n">
        <v>5.073982000001706</v>
      </c>
      <c r="H10" t="inlineStr">
        <is>
          <t>tts\chatterbox\results\chatterbox-multilingual_explicit_cough.wav</t>
        </is>
      </c>
    </row>
    <row r="11">
      <c r="A11" t="inlineStr">
        <is>
          <t>tiny-gpt20-turbo</t>
        </is>
      </c>
      <c r="B11" t="inlineStr">
        <is>
          <t>standard</t>
        </is>
      </c>
      <c r="C11" t="inlineStr">
        <is>
          <t>PASSED</t>
        </is>
      </c>
      <c r="D11" t="inlineStr">
        <is>
          <t>Hello, I am Jarvis. How can I assist you today?</t>
        </is>
      </c>
      <c r="E11" t="inlineStr"/>
      <c r="F11">
        <f>HYPERLINK("https://drive.google.com/file/d/1t35IDewQSU8AwBmwCAglEx0mMVl65oFs/view?usp=drivesdk", "Open")</f>
        <v/>
      </c>
      <c r="G11" t="n">
        <v>0.899796099998639</v>
      </c>
      <c r="H11" t="inlineStr">
        <is>
          <t>tts\chatterbox\results\chatterbox-turbo_standard.wav</t>
        </is>
      </c>
    </row>
    <row r="12">
      <c r="A12" t="inlineStr">
        <is>
          <t>tiny-gpt20-turbo</t>
        </is>
      </c>
      <c r="B12" t="inlineStr">
        <is>
          <t>polish</t>
        </is>
      </c>
      <c r="C12" t="inlineStr">
        <is>
          <t>PASSED</t>
        </is>
      </c>
      <c r="D12" t="inlineStr">
        <is>
          <t>Cześć, nazywam się Jarvis. Jak mogę Ci dzisiaj pomóc?</t>
        </is>
      </c>
      <c r="E12" t="inlineStr"/>
      <c r="F12">
        <f>HYPERLINK("https://drive.google.com/file/d/1_ZeGr2jrpZJS3W2RAfJEWkkXuR2Eecsh/view?usp=drivesdk", "Open")</f>
        <v/>
      </c>
      <c r="G12" t="n">
        <v>1.711287300000549</v>
      </c>
      <c r="H12" t="inlineStr">
        <is>
          <t>tts\chatterbox\results\chatterbox-turbo_polish.wav</t>
        </is>
      </c>
    </row>
    <row r="13">
      <c r="A13" t="inlineStr">
        <is>
          <t>tiny-gpt20-turbo</t>
        </is>
      </c>
      <c r="B13" t="inlineStr">
        <is>
          <t>french</t>
        </is>
      </c>
      <c r="C13" t="inlineStr">
        <is>
          <t>PASSED</t>
        </is>
      </c>
      <c r="D13" t="inlineStr">
        <is>
          <t>Bonjour, je m'appelle Jarvis. Comment puis-je vous aider?</t>
        </is>
      </c>
      <c r="E13" t="inlineStr"/>
      <c r="F13">
        <f>HYPERLINK("https://drive.google.com/file/d/1drxiS9D-3Lg6XpF81FLBh4J87dMd2QcK/view?usp=drivesdk", "Open")</f>
        <v/>
      </c>
      <c r="G13" t="n">
        <v>1.165704400002141</v>
      </c>
      <c r="H13" t="inlineStr">
        <is>
          <t>tts\chatterbox\results\chatterbox-turbo_french.wav</t>
        </is>
      </c>
    </row>
    <row r="14">
      <c r="A14" t="inlineStr">
        <is>
          <t>tiny-gpt20-turbo</t>
        </is>
      </c>
      <c r="B14" t="inlineStr">
        <is>
          <t>chinese</t>
        </is>
      </c>
      <c r="C14" t="inlineStr">
        <is>
          <t>PASSED</t>
        </is>
      </c>
      <c r="D14" t="inlineStr">
        <is>
          <t>你好，我叫贾维斯。我今天能为您做什么？</t>
        </is>
      </c>
      <c r="E14" t="inlineStr"/>
      <c r="F14">
        <f>HYPERLINK("https://drive.google.com/file/d/1pk0qssrobxOBpsdxFfNvJfa9LJlMU0cs/view?usp=drivesdk", "Open")</f>
        <v/>
      </c>
      <c r="G14" t="n">
        <v>3.751107000003685</v>
      </c>
      <c r="H14" t="inlineStr">
        <is>
          <t>tts\chatterbox\results\chatterbox-turbo_chinese.wav</t>
        </is>
      </c>
    </row>
    <row r="15">
      <c r="A15" t="inlineStr">
        <is>
          <t>tiny-gpt20-turbo</t>
        </is>
      </c>
      <c r="B15" t="inlineStr">
        <is>
          <t>implicit_excited</t>
        </is>
      </c>
      <c r="C15" t="inlineStr">
        <is>
          <t>PASSED</t>
        </is>
      </c>
      <c r="D15" t="inlineStr">
        <is>
          <t>Oh my god! This Blackwell architecture is incredible! Everything is so fast!!!</t>
        </is>
      </c>
      <c r="E15" t="inlineStr"/>
      <c r="F15">
        <f>HYPERLINK("https://drive.google.com/file/d/18iHmsxX_ANliCzahXNjNgABmqjdyBqqW/view?usp=drivesdk", "Open")</f>
        <v/>
      </c>
      <c r="G15" t="n">
        <v>1.174563299995498</v>
      </c>
      <c r="H15" t="inlineStr">
        <is>
          <t>tts\chatterbox\results\chatterbox-turbo_implicit_excited.wav</t>
        </is>
      </c>
    </row>
    <row r="16">
      <c r="A16" t="inlineStr">
        <is>
          <t>tiny-gpt20-turbo</t>
        </is>
      </c>
      <c r="B16" t="inlineStr">
        <is>
          <t>implicit_serious</t>
        </is>
      </c>
      <c r="C16" t="inlineStr">
        <is>
          <t>PASSED</t>
        </is>
      </c>
      <c r="D16" t="inlineStr">
        <is>
          <t>The system will undergo maintenance in ten minutes. Please save your work.</t>
        </is>
      </c>
      <c r="E16" t="inlineStr"/>
      <c r="F16">
        <f>HYPERLINK("https://drive.google.com/file/d/18cj10qVcv73DgeumQZ-Su_1NmaRp4c_E/view?usp=drivesdk", "Open")</f>
        <v/>
      </c>
      <c r="G16" t="n">
        <v>0.9981865999870934</v>
      </c>
      <c r="H16" t="inlineStr">
        <is>
          <t>tts\chatterbox\results\chatterbox-turbo_implicit_serious.wav</t>
        </is>
      </c>
    </row>
    <row r="17">
      <c r="A17" t="inlineStr">
        <is>
          <t>tiny-gpt20-turbo</t>
        </is>
      </c>
      <c r="B17" t="inlineStr">
        <is>
          <t>implicit_hesitant</t>
        </is>
      </c>
      <c r="C17" t="inlineStr">
        <is>
          <t>PASSED</t>
        </is>
      </c>
      <c r="D17" t="inlineStr">
        <is>
          <t>I... I'm not quite sure if that's the right direction, but... we can try.</t>
        </is>
      </c>
      <c r="E17" t="inlineStr"/>
      <c r="F17">
        <f>HYPERLINK("https://drive.google.com/file/d/1w8cS8Y2FK8_MSgQMzgM8bKkY_08XhcPX/view?usp=drivesdk", "Open")</f>
        <v/>
      </c>
      <c r="G17" t="n">
        <v>1.493162500002654</v>
      </c>
      <c r="H17" t="inlineStr">
        <is>
          <t>tts\chatterbox\results\chatterbox-turbo_implicit_hesitant.wav</t>
        </is>
      </c>
    </row>
    <row r="18">
      <c r="A18" t="inlineStr">
        <is>
          <t>tiny-gpt20-turbo</t>
        </is>
      </c>
      <c r="B18" t="inlineStr">
        <is>
          <t>explicit_laugh</t>
        </is>
      </c>
      <c r="C18" t="inlineStr">
        <is>
          <t>PASSED</t>
        </is>
      </c>
      <c r="D18" t="inlineStr">
        <is>
          <t>[laugh] That is actually very funny! I didn't see that coming.</t>
        </is>
      </c>
      <c r="E18" t="inlineStr"/>
      <c r="F18">
        <f>HYPERLINK("https://drive.google.com/file/d/1KJJO5U_JccUom5YDvlF3x6SBgBgCKNuR/view?usp=drivesdk", "Open")</f>
        <v/>
      </c>
      <c r="G18" t="n">
        <v>1.350912400012021</v>
      </c>
      <c r="H18" t="inlineStr">
        <is>
          <t>tts\chatterbox\results\chatterbox-turbo_explicit_laugh.wav</t>
        </is>
      </c>
    </row>
    <row r="19">
      <c r="A19" t="inlineStr">
        <is>
          <t>tiny-gpt20-turbo</t>
        </is>
      </c>
      <c r="B19" t="inlineStr">
        <is>
          <t>explicit_cough</t>
        </is>
      </c>
      <c r="C19" t="inlineStr">
        <is>
          <t>PASSED</t>
        </is>
      </c>
      <c r="D19" t="inlineStr">
        <is>
          <t>[cough] Excuse me, the server room is a bit dusty today.</t>
        </is>
      </c>
      <c r="E19" t="inlineStr"/>
      <c r="F19">
        <f>HYPERLINK("https://drive.google.com/file/d/1y6KHKRx9_J2W55Uv8LRtp4gOMVGGSabb/view?usp=drivesdk", "Open")</f>
        <v/>
      </c>
      <c r="G19" t="n">
        <v>1.095227400001022</v>
      </c>
      <c r="H19" t="inlineStr">
        <is>
          <t>tts\chatterbox\results\chatterbox-turbo_explicit_cough.wav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9" customWidth="1" min="1" max="1"/>
    <col width="17" customWidth="1" min="2" max="2"/>
    <col width="8" customWidth="1" min="3" max="3"/>
    <col width="12" customWidth="1" min="4" max="4"/>
    <col width="12" customWidth="1" min="5" max="5"/>
    <col width="21" customWidth="1" min="6" max="6"/>
    <col width="20" customWidth="1" min="7" max="7"/>
    <col width="16" customWidth="1" min="8" max="8"/>
    <col width="6" customWidth="1" min="9" max="9"/>
  </cols>
  <sheetData>
    <row r="1">
      <c r="A1" s="1" t="inlineStr">
        <is>
          <t>Loadout</t>
        </is>
      </c>
      <c r="B1" s="1" t="inlineStr">
        <is>
          <t>Scenario</t>
        </is>
      </c>
      <c r="C1" s="1" t="inlineStr">
        <is>
          <t>Status</t>
        </is>
      </c>
      <c r="D1" s="1" t="inlineStr">
        <is>
          <t>Input Text</t>
        </is>
      </c>
      <c r="E1" s="1" t="inlineStr">
        <is>
          <t>Input Link</t>
        </is>
      </c>
      <c r="F1" s="1" t="inlineStr">
        <is>
          <t>TTFT (s)</t>
        </is>
      </c>
      <c r="G1" s="1" t="inlineStr">
        <is>
          <t>TPS</t>
        </is>
      </c>
      <c r="H1" s="1" t="inlineStr">
        <is>
          <t>VRAM Peak (GB)</t>
        </is>
      </c>
      <c r="I1" s="1" t="inlineStr">
        <is>
          <t>Text</t>
        </is>
      </c>
    </row>
    <row r="2">
      <c r="A2" t="inlineStr">
        <is>
          <t>base-qwen30-multi</t>
        </is>
      </c>
      <c r="B2" t="inlineStr">
        <is>
          <t>english_std</t>
        </is>
      </c>
      <c r="C2" t="inlineStr">
        <is>
          <t>PASSED</t>
        </is>
      </c>
      <c r="D2" t="inlineStr">
        <is>
          <t>N/A</t>
        </is>
      </c>
      <c r="E2" t="inlineStr"/>
      <c r="F2" t="n">
        <v>0.1017232000012882</v>
      </c>
      <c r="G2" t="n">
        <v>130.8092382699589</v>
      </c>
      <c r="H2" t="n">
        <v>0</v>
      </c>
      <c r="I2" t="inlineStr"/>
    </row>
    <row r="3">
      <c r="A3" t="inlineStr">
        <is>
          <t>base-qwen30-multi</t>
        </is>
      </c>
      <c r="B3" t="inlineStr">
        <is>
          <t>polish_explicit</t>
        </is>
      </c>
      <c r="C3" t="inlineStr">
        <is>
          <t>PASSED</t>
        </is>
      </c>
      <c r="D3" t="inlineStr">
        <is>
          <t>N/A</t>
        </is>
      </c>
      <c r="E3" t="inlineStr"/>
      <c r="F3" t="n">
        <v>0.08736700000008568</v>
      </c>
      <c r="G3" t="n">
        <v>153.9150313386053</v>
      </c>
      <c r="H3" t="n">
        <v>0</v>
      </c>
      <c r="I3" t="inlineStr"/>
    </row>
    <row r="4">
      <c r="A4" t="inlineStr">
        <is>
          <t>base-qwen30-multi</t>
        </is>
      </c>
      <c r="B4" t="inlineStr">
        <is>
          <t>short2long</t>
        </is>
      </c>
      <c r="C4" t="inlineStr">
        <is>
          <t>PASSED</t>
        </is>
      </c>
      <c r="D4" t="inlineStr">
        <is>
          <t>N/A</t>
        </is>
      </c>
      <c r="E4" t="inlineStr"/>
      <c r="F4" t="n">
        <v>0.08894009998766705</v>
      </c>
      <c r="G4" t="n">
        <v>180.195423465409</v>
      </c>
      <c r="H4" t="n">
        <v>0</v>
      </c>
      <c r="I4" t="inlineStr"/>
    </row>
    <row r="5">
      <c r="A5" t="inlineStr">
        <is>
          <t>base-qwen30-multi</t>
        </is>
      </c>
      <c r="B5" t="inlineStr">
        <is>
          <t>long2short</t>
        </is>
      </c>
      <c r="C5" t="inlineStr">
        <is>
          <t>PASSED</t>
        </is>
      </c>
      <c r="D5" t="inlineStr">
        <is>
          <t>N/A</t>
        </is>
      </c>
      <c r="E5" t="inlineStr"/>
      <c r="F5" t="n">
        <v>0.09792729999753647</v>
      </c>
      <c r="G5" t="n">
        <v>53.79384967556367</v>
      </c>
      <c r="H5" t="n">
        <v>0</v>
      </c>
      <c r="I5" t="inlineStr"/>
    </row>
    <row r="6">
      <c r="A6" t="inlineStr">
        <is>
          <t>tiny-gpt20-turbo</t>
        </is>
      </c>
      <c r="B6" t="inlineStr">
        <is>
          <t>english_std</t>
        </is>
      </c>
      <c r="C6" t="inlineStr">
        <is>
          <t>PASSED</t>
        </is>
      </c>
      <c r="D6" t="inlineStr">
        <is>
          <t>N/A</t>
        </is>
      </c>
      <c r="E6" t="inlineStr"/>
      <c r="F6" t="n">
        <v>0.1618216000060784</v>
      </c>
      <c r="G6" t="n">
        <v>167.7567851308063</v>
      </c>
      <c r="H6" t="n">
        <v>0</v>
      </c>
      <c r="I6" t="inlineStr"/>
    </row>
    <row r="7">
      <c r="A7" t="inlineStr">
        <is>
          <t>tiny-gpt20-turbo</t>
        </is>
      </c>
      <c r="B7" t="inlineStr">
        <is>
          <t>polish_explicit</t>
        </is>
      </c>
      <c r="C7" t="inlineStr">
        <is>
          <t>PASSED</t>
        </is>
      </c>
      <c r="D7" t="inlineStr">
        <is>
          <t>N/A</t>
        </is>
      </c>
      <c r="E7" t="inlineStr"/>
      <c r="F7" t="n">
        <v>0.1401774000114528</v>
      </c>
      <c r="G7" t="n">
        <v>200.0770296562914</v>
      </c>
      <c r="H7" t="n">
        <v>0</v>
      </c>
      <c r="I7" t="inlineStr"/>
    </row>
    <row r="8">
      <c r="A8" t="inlineStr">
        <is>
          <t>tiny-gpt20-turbo</t>
        </is>
      </c>
      <c r="B8" t="inlineStr">
        <is>
          <t>short2long</t>
        </is>
      </c>
      <c r="C8" t="inlineStr">
        <is>
          <t>PASSED</t>
        </is>
      </c>
      <c r="D8" t="inlineStr">
        <is>
          <t>N/A</t>
        </is>
      </c>
      <c r="E8" t="inlineStr"/>
      <c r="F8" t="n">
        <v>0.1422599000070477</v>
      </c>
      <c r="G8" t="n">
        <v>198.0135660763241</v>
      </c>
      <c r="H8" t="n">
        <v>0</v>
      </c>
      <c r="I8" t="inlineStr"/>
    </row>
    <row r="9">
      <c r="A9" t="inlineStr">
        <is>
          <t>tiny-gpt20-turbo</t>
        </is>
      </c>
      <c r="B9" t="inlineStr">
        <is>
          <t>long2short</t>
        </is>
      </c>
      <c r="C9" t="inlineStr">
        <is>
          <t>PASSED</t>
        </is>
      </c>
      <c r="D9" t="inlineStr">
        <is>
          <t>N/A</t>
        </is>
      </c>
      <c r="E9" t="inlineStr"/>
      <c r="F9" t="n">
        <v>0.1574739999923622</v>
      </c>
      <c r="G9" t="n">
        <v>164.2674595325132</v>
      </c>
      <c r="H9" t="n">
        <v>0</v>
      </c>
      <c r="I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9" customWidth="1" min="1" max="1"/>
    <col width="15" customWidth="1" min="2" max="2"/>
    <col width="8" customWidth="1" min="3" max="3"/>
    <col width="52" customWidth="1" min="4" max="4"/>
    <col width="100" customWidth="1" min="5" max="5"/>
    <col width="21" customWidth="1" min="6" max="6"/>
    <col width="20" customWidth="1" min="7" max="7"/>
    <col width="16" customWidth="1" min="8" max="8"/>
    <col width="100" customWidth="1" min="9" max="9"/>
  </cols>
  <sheetData>
    <row r="1">
      <c r="A1" s="1" t="inlineStr">
        <is>
          <t>Loadout</t>
        </is>
      </c>
      <c r="B1" s="1" t="inlineStr">
        <is>
          <t>Scenario</t>
        </is>
      </c>
      <c r="C1" s="1" t="inlineStr">
        <is>
          <t>Status</t>
        </is>
      </c>
      <c r="D1" s="1" t="inlineStr">
        <is>
          <t>Input Text</t>
        </is>
      </c>
      <c r="E1" s="1" t="inlineStr">
        <is>
          <t>Input Link</t>
        </is>
      </c>
      <c r="F1" s="1" t="inlineStr">
        <is>
          <t>TTFT (s)</t>
        </is>
      </c>
      <c r="G1" s="1" t="inlineStr">
        <is>
          <t>TPS</t>
        </is>
      </c>
      <c r="H1" s="1" t="inlineStr">
        <is>
          <t>VRAM Peak (GB)</t>
        </is>
      </c>
      <c r="I1" s="1" t="inlineStr">
        <is>
          <t>Text</t>
        </is>
      </c>
    </row>
    <row r="2">
      <c r="A2" t="inlineStr">
        <is>
          <t>base-qwen30-multi</t>
        </is>
      </c>
      <c r="B2" t="inlineStr">
        <is>
          <t>bunny</t>
        </is>
      </c>
      <c r="C2" t="inlineStr">
        <is>
          <t>FAILED</t>
        </is>
      </c>
      <c r="D2" t="inlineStr">
        <is>
          <t>N/A</t>
        </is>
      </c>
      <c r="E2" t="inlineStr"/>
      <c r="F2" t="inlineStr"/>
      <c r="G2" t="inlineStr"/>
      <c r="H2" t="n">
        <v>0</v>
      </c>
      <c r="I2" t="inlineStr">
        <is>
          <t>Failed to load media frames.</t>
        </is>
      </c>
    </row>
    <row r="3">
      <c r="A3" t="inlineStr">
        <is>
          <t>base-qwen30-multi</t>
        </is>
      </c>
      <c r="B3" t="inlineStr">
        <is>
          <t>jarvis_logo</t>
        </is>
      </c>
      <c r="C3" t="inlineStr">
        <is>
          <t>PASSED</t>
        </is>
      </c>
      <c r="D3" t="inlineStr">
        <is>
          <t>What is in this image?</t>
        </is>
      </c>
      <c r="E3">
        <f>HYPERLINK("https://drive.google.com/file/d/1VyX5PICj6G2huz1kZ25Bvu_DI53MYqOq/view?usp=drivesdk", "Open")</f>
        <v/>
      </c>
      <c r="F3" t="n">
        <v>0.1989690999907907</v>
      </c>
      <c r="G3" t="n">
        <v>166.4480860712465</v>
      </c>
      <c r="H3" t="n">
        <v>0</v>
      </c>
      <c r="I3" t="inlineStr">
        <is>
          <t>This image features a stylized, futuristic robot head, which appears to be a representation of Iron Man's helmet. The helmet is centrally positioned within a circular, high-tech interface that resembles a heads-up display (HUD) or targeting system.
Key visual elements include:
- A glowing blue, metallic helmet with a sleek, angular design.
- Bright, glowing green eyes that give it an intense, focused look.
- Red accents on the sides of the helmet, possibly representing earpieces or sensors.
- A circular frame surrounding the helmet, composed of concentric rings with glowing blue lines and markings, suggesting a digital or scanning interface.
- The overall color scheme is dominated by shades of blue and black, creating a dark, high-tech, and cybernetic atmosphere.
The image is likely a logo or icon for a game, app, or digital service related to technology, gaming, or the Iron Man franchise.</t>
        </is>
      </c>
    </row>
    <row r="4">
      <c r="A4" t="inlineStr">
        <is>
          <t>base-qwen30-multi</t>
        </is>
      </c>
      <c r="B4" t="inlineStr">
        <is>
          <t>three_objects</t>
        </is>
      </c>
      <c r="C4" t="inlineStr">
        <is>
          <t>PASSED</t>
        </is>
      </c>
      <c r="D4" t="inlineStr">
        <is>
          <t>How many colored circles do you see in this photo?</t>
        </is>
      </c>
      <c r="E4">
        <f>HYPERLINK("https://drive.google.com/file/d/1nKZI5DYuTHvKgJWx6cjyO_qs0mBaYd74/view?usp=drivesdk", "Open")</f>
        <v/>
      </c>
      <c r="F4" t="n">
        <v>0.1390538999985438</v>
      </c>
      <c r="G4" t="n">
        <v>144.1363607383739</v>
      </c>
      <c r="H4" t="n">
        <v>0</v>
      </c>
      <c r="I4" t="inlineStr">
        <is>
          <t>Based on the image provided, we can identify the following:
- There is one red circle in the upper left.
- There is one blue circle in the upper right.
- There is one green circle in the lower center.
Each of these is a distinct, colored circle.
Therefore, there are 3 colored circles in the photo.</t>
        </is>
      </c>
    </row>
    <row r="5">
      <c r="A5" t="inlineStr">
        <is>
          <t>base-qwen30-multi</t>
        </is>
      </c>
      <c r="B5" t="inlineStr">
        <is>
          <t>traffic</t>
        </is>
      </c>
      <c r="C5" t="inlineStr">
        <is>
          <t>FAILED</t>
        </is>
      </c>
      <c r="D5" t="inlineStr">
        <is>
          <t>N/A</t>
        </is>
      </c>
      <c r="E5" t="inlineStr"/>
      <c r="F5" t="inlineStr"/>
      <c r="G5" t="inlineStr"/>
      <c r="H5" t="n">
        <v>0</v>
      </c>
      <c r="I5" t="inlineStr">
        <is>
          <t>Failed to load media frames.</t>
        </is>
      </c>
    </row>
    <row r="6">
      <c r="A6" t="inlineStr">
        <is>
          <t>tiny-gpt20-turbo</t>
        </is>
      </c>
      <c r="B6" t="inlineStr">
        <is>
          <t>bunny</t>
        </is>
      </c>
      <c r="C6" t="inlineStr">
        <is>
          <t>FAILED</t>
        </is>
      </c>
      <c r="D6" t="inlineStr">
        <is>
          <t>N/A</t>
        </is>
      </c>
      <c r="E6" t="inlineStr"/>
      <c r="F6" t="inlineStr"/>
      <c r="G6" t="inlineStr"/>
      <c r="H6" t="n">
        <v>0</v>
      </c>
      <c r="I6" t="inlineStr">
        <is>
          <t>Failed to load media frames.</t>
        </is>
      </c>
    </row>
    <row r="7">
      <c r="A7" t="inlineStr">
        <is>
          <t>tiny-gpt20-turbo</t>
        </is>
      </c>
      <c r="B7" t="inlineStr">
        <is>
          <t>jarvis_logo</t>
        </is>
      </c>
      <c r="C7" t="inlineStr">
        <is>
          <t>PASSED</t>
        </is>
      </c>
      <c r="D7" t="inlineStr">
        <is>
          <t>What is in this image?</t>
        </is>
      </c>
      <c r="E7">
        <f>HYPERLINK("https://drive.google.com/file/d/1VyX5PICj6G2huz1kZ25Bvu_DI53MYqOq/view?usp=drivesdk", "Open")</f>
        <v/>
      </c>
      <c r="F7" t="n">
        <v>0.4896064999920782</v>
      </c>
      <c r="G7" t="n">
        <v>169.7614620718119</v>
      </c>
      <c r="H7" t="n">
        <v>0</v>
      </c>
      <c r="I7" t="inlineStr">
        <is>
          <t>I’m sorry, but I can’t view images. If you describe what’s in the picture, I’ll do my best to help!</t>
        </is>
      </c>
    </row>
    <row r="8">
      <c r="A8" t="inlineStr">
        <is>
          <t>tiny-gpt20-turbo</t>
        </is>
      </c>
      <c r="B8" t="inlineStr">
        <is>
          <t>three_objects</t>
        </is>
      </c>
      <c r="C8" t="inlineStr">
        <is>
          <t>PASSED</t>
        </is>
      </c>
      <c r="D8" t="inlineStr">
        <is>
          <t>How many colored circles do you see in this photo?</t>
        </is>
      </c>
      <c r="E8">
        <f>HYPERLINK("https://drive.google.com/file/d/1nKZI5DYuTHvKgJWx6cjyO_qs0mBaYd74/view?usp=drivesdk", "Open")</f>
        <v/>
      </c>
      <c r="F8" t="n">
        <v>0.8254508999962127</v>
      </c>
      <c r="G8" t="n">
        <v>204.7481493422268</v>
      </c>
      <c r="H8" t="n">
        <v>0</v>
      </c>
      <c r="I8" t="inlineStr">
        <is>
          <t>I’m not able to view images directly. Could you describe the photo for me? For example, how many circles are there, what colors they’re in, and any other details that might help me count them.</t>
        </is>
      </c>
    </row>
    <row r="9">
      <c r="A9" t="inlineStr">
        <is>
          <t>tiny-gpt20-turbo</t>
        </is>
      </c>
      <c r="B9" t="inlineStr">
        <is>
          <t>traffic</t>
        </is>
      </c>
      <c r="C9" t="inlineStr">
        <is>
          <t>FAILED</t>
        </is>
      </c>
      <c r="D9" t="inlineStr">
        <is>
          <t>N/A</t>
        </is>
      </c>
      <c r="E9" t="inlineStr"/>
      <c r="F9" t="inlineStr"/>
      <c r="G9" t="inlineStr"/>
      <c r="H9" t="n">
        <v>0</v>
      </c>
      <c r="I9" t="inlineStr">
        <is>
          <t>Failed to load media frames.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19" customWidth="1" min="1" max="1"/>
    <col width="17" customWidth="1" min="2" max="2"/>
    <col width="6" customWidth="1" min="3" max="3"/>
    <col width="8" customWidth="1" min="4" max="4"/>
    <col width="12" customWidth="1" min="5" max="5"/>
    <col width="100" customWidth="1" min="6" max="6"/>
    <col width="100" customWidth="1" min="7" max="7"/>
    <col width="20" customWidth="1" min="8" max="8"/>
    <col width="21" customWidth="1" min="9" max="9"/>
    <col width="21" customWidth="1" min="10" max="10"/>
    <col width="21" customWidth="1" min="11" max="11"/>
    <col width="16" customWidth="1" min="12" max="12"/>
  </cols>
  <sheetData>
    <row r="1">
      <c r="A1" s="1" t="inlineStr">
        <is>
          <t>Loadout</t>
        </is>
      </c>
      <c r="B1" s="1" t="inlineStr">
        <is>
          <t>Scenario</t>
        </is>
      </c>
      <c r="C1" s="1" t="inlineStr">
        <is>
          <t>Mode</t>
        </is>
      </c>
      <c r="D1" s="1" t="inlineStr">
        <is>
          <t>Status</t>
        </is>
      </c>
      <c r="E1" s="1" t="inlineStr">
        <is>
          <t>Input Text</t>
        </is>
      </c>
      <c r="F1" s="1" t="inlineStr">
        <is>
          <t>Input Link</t>
        </is>
      </c>
      <c r="G1" s="1" t="inlineStr">
        <is>
          <t>Output Link</t>
        </is>
      </c>
      <c r="H1" s="1" t="inlineStr">
        <is>
          <t>Total Duration (s)</t>
        </is>
      </c>
      <c r="I1" s="1" t="inlineStr">
        <is>
          <t>STT Time</t>
        </is>
      </c>
      <c r="J1" s="1" t="inlineStr">
        <is>
          <t>LLM Time</t>
        </is>
      </c>
      <c r="K1" s="1" t="inlineStr">
        <is>
          <t>TTS Time</t>
        </is>
      </c>
      <c r="L1" s="1" t="inlineStr">
        <is>
          <t>VRAM Peak (GB)</t>
        </is>
      </c>
    </row>
    <row r="2">
      <c r="A2" t="inlineStr">
        <is>
          <t>base-qwen30-multi</t>
        </is>
      </c>
      <c r="B2" t="inlineStr">
        <is>
          <t>english_std</t>
        </is>
      </c>
      <c r="C2" t="inlineStr">
        <is>
          <t>WAV</t>
        </is>
      </c>
      <c r="D2" t="inlineStr">
        <is>
          <t>PASSED</t>
        </is>
      </c>
      <c r="E2" t="inlineStr">
        <is>
          <t>N/A</t>
        </is>
      </c>
      <c r="F2">
        <f>HYPERLINK("https://drive.google.com/file/d/11WNaWhL7X55pcUp_2KG-fJO2M6AS4mU8/view?usp=drivesdk", "Open")</f>
        <v/>
      </c>
      <c r="G2">
        <f>HYPERLINK("https://drive.google.com/file/d/1NmiZpaMj1r6Ai2HIfYTb4piJz9ijxaCT/view?usp=drivesdk", "Open")</f>
        <v/>
      </c>
      <c r="H2" t="n">
        <v>2.81736980000278</v>
      </c>
      <c r="I2" t="n">
        <v>0.1272624999983236</v>
      </c>
      <c r="J2" t="n">
        <v>0.2124426999944262</v>
      </c>
      <c r="K2" t="n">
        <v>2.463420499989297</v>
      </c>
      <c r="L2" t="n">
        <v>0</v>
      </c>
    </row>
    <row r="3">
      <c r="A3" t="inlineStr">
        <is>
          <t>base-qwen30-multi</t>
        </is>
      </c>
      <c r="B3" t="inlineStr">
        <is>
          <t>polish_explicit</t>
        </is>
      </c>
      <c r="C3" t="inlineStr">
        <is>
          <t>WAV</t>
        </is>
      </c>
      <c r="D3" t="inlineStr">
        <is>
          <t>FAILED</t>
        </is>
      </c>
      <c r="E3" t="inlineStr">
        <is>
          <t>N/A</t>
        </is>
      </c>
      <c r="F3" t="inlineStr"/>
      <c r="G3" t="inlineStr"/>
      <c r="H3" t="n">
        <v>0</v>
      </c>
      <c r="I3" t="n">
        <v>0</v>
      </c>
      <c r="J3" t="n">
        <v>0</v>
      </c>
      <c r="K3" t="n">
        <v>0</v>
      </c>
      <c r="L3" t="n">
        <v>0</v>
      </c>
    </row>
    <row r="4">
      <c r="A4" t="inlineStr">
        <is>
          <t>base-qwen30-multi</t>
        </is>
      </c>
      <c r="B4" t="inlineStr">
        <is>
          <t>short2long</t>
        </is>
      </c>
      <c r="C4" t="inlineStr">
        <is>
          <t>WAV</t>
        </is>
      </c>
      <c r="D4" t="inlineStr">
        <is>
          <t>PASSED</t>
        </is>
      </c>
      <c r="E4" t="inlineStr">
        <is>
          <t>N/A</t>
        </is>
      </c>
      <c r="F4">
        <f>HYPERLINK("https://drive.google.com/file/d/1gbVmTFovVbBqyqV1i75iBi6IqHbJuIgW/view?usp=drivesdk", "Open")</f>
        <v/>
      </c>
      <c r="G4">
        <f>HYPERLINK("https://drive.google.com/file/d/1uy6vk2Wi7ufQbV27IU9Ugq_ydD2dgAdn/view?usp=drivesdk", "Open")</f>
        <v/>
      </c>
      <c r="H4" t="n">
        <v>14.81649360001029</v>
      </c>
      <c r="I4" t="n">
        <v>0.1278710000042338</v>
      </c>
      <c r="J4" t="n">
        <v>0.6822174999979325</v>
      </c>
      <c r="K4" t="n">
        <v>13.99209100000735</v>
      </c>
      <c r="L4" t="n">
        <v>0</v>
      </c>
    </row>
    <row r="5">
      <c r="A5" t="inlineStr">
        <is>
          <t>base-qwen30-multi</t>
        </is>
      </c>
      <c r="B5" t="inlineStr">
        <is>
          <t>long2short</t>
        </is>
      </c>
      <c r="C5" t="inlineStr">
        <is>
          <t>WAV</t>
        </is>
      </c>
      <c r="D5" t="inlineStr">
        <is>
          <t>PASSED</t>
        </is>
      </c>
      <c r="E5" t="inlineStr">
        <is>
          <t>N/A</t>
        </is>
      </c>
      <c r="F5">
        <f>HYPERLINK("https://drive.google.com/file/d/10qIJnok6liHp-BR7Fph_HKVMzj_KP1tK/view?usp=drivesdk", "Open")</f>
        <v/>
      </c>
      <c r="G5">
        <f>HYPERLINK("https://drive.google.com/file/d/1Mb7rqzGV8rbsDBvZB4I1Tn8nSji7ez-A/view?usp=drivesdk", "Open")</f>
        <v/>
      </c>
      <c r="H5" t="n">
        <v>1.496387899998808</v>
      </c>
      <c r="I5" t="n">
        <v>0.2671050999924773</v>
      </c>
      <c r="J5" t="n">
        <v>0.1367420999886235</v>
      </c>
      <c r="K5" t="n">
        <v>1.079591799993068</v>
      </c>
      <c r="L5" t="n">
        <v>0</v>
      </c>
    </row>
    <row r="6">
      <c r="A6" t="inlineStr">
        <is>
          <t>tiny-gpt20-turbo</t>
        </is>
      </c>
      <c r="B6" t="inlineStr">
        <is>
          <t>english_std</t>
        </is>
      </c>
      <c r="C6" t="inlineStr">
        <is>
          <t>WAV</t>
        </is>
      </c>
      <c r="D6" t="inlineStr">
        <is>
          <t>PASSED</t>
        </is>
      </c>
      <c r="E6" t="inlineStr">
        <is>
          <t>N/A</t>
        </is>
      </c>
      <c r="F6">
        <f>HYPERLINK("https://drive.google.com/file/d/11WNaWhL7X55pcUp_2KG-fJO2M6AS4mU8/view?usp=drivesdk", "Open")</f>
        <v/>
      </c>
      <c r="G6">
        <f>HYPERLINK("https://drive.google.com/file/d/1ZhKE4Bi4YdPyvsaiB9cZYBc9Es4m_8Mx/view?usp=drivesdk", "Open")</f>
        <v/>
      </c>
      <c r="H6" t="n">
        <v>2.081761099994765</v>
      </c>
      <c r="I6" t="n">
        <v>0.09927170000446495</v>
      </c>
      <c r="J6" t="n">
        <v>0.4849443999992218</v>
      </c>
      <c r="K6" t="n">
        <v>1.483884900007979</v>
      </c>
      <c r="L6" t="n">
        <v>0</v>
      </c>
    </row>
    <row r="7">
      <c r="A7" t="inlineStr">
        <is>
          <t>tiny-gpt20-turbo</t>
        </is>
      </c>
      <c r="B7" t="inlineStr">
        <is>
          <t>polish_explicit</t>
        </is>
      </c>
      <c r="C7" t="inlineStr">
        <is>
          <t>WAV</t>
        </is>
      </c>
      <c r="D7" t="inlineStr">
        <is>
          <t>PASSED</t>
        </is>
      </c>
      <c r="E7" t="inlineStr">
        <is>
          <t>N/A</t>
        </is>
      </c>
      <c r="F7">
        <f>HYPERLINK("https://drive.google.com/file/d/1GYUCQk-r2eW0hLQByzcW2kXRTmiPPxt2/view?usp=drivesdk", "Open")</f>
        <v/>
      </c>
      <c r="G7">
        <f>HYPERLINK("https://drive.google.com/file/d/1JS8jWhYkb5Ppenhfcnu4lQz7qV4dq1e8/view?usp=drivesdk", "Open")</f>
        <v/>
      </c>
      <c r="H7" t="n">
        <v>4.165772099993774</v>
      </c>
      <c r="I7" t="n">
        <v>0.125802599999588</v>
      </c>
      <c r="J7" t="n">
        <v>1.348716399996192</v>
      </c>
      <c r="K7" t="n">
        <v>2.680581000007805</v>
      </c>
      <c r="L7" t="n">
        <v>0</v>
      </c>
    </row>
    <row r="8">
      <c r="A8" t="inlineStr">
        <is>
          <t>tiny-gpt20-turbo</t>
        </is>
      </c>
      <c r="B8" t="inlineStr">
        <is>
          <t>short2long</t>
        </is>
      </c>
      <c r="C8" t="inlineStr">
        <is>
          <t>WAV</t>
        </is>
      </c>
      <c r="D8" t="inlineStr">
        <is>
          <t>PASSED</t>
        </is>
      </c>
      <c r="E8" t="inlineStr">
        <is>
          <t>N/A</t>
        </is>
      </c>
      <c r="F8">
        <f>HYPERLINK("https://drive.google.com/file/d/1gbVmTFovVbBqyqV1i75iBi6IqHbJuIgW/view?usp=drivesdk", "Open")</f>
        <v/>
      </c>
      <c r="G8">
        <f>HYPERLINK("https://drive.google.com/file/d/1q14a0NvfrqdbXPyDXzT7Y7u0k9m0Wjvz/view?usp=drivesdk", "Open")</f>
        <v/>
      </c>
      <c r="H8" t="n">
        <v>7.844158499996411</v>
      </c>
      <c r="I8" t="n">
        <v>0.1158756000077119</v>
      </c>
      <c r="J8" t="n">
        <v>0.8210277000034694</v>
      </c>
      <c r="K8" t="n">
        <v>6.891862100004801</v>
      </c>
      <c r="L8" t="n">
        <v>0</v>
      </c>
    </row>
    <row r="9">
      <c r="A9" t="inlineStr">
        <is>
          <t>tiny-gpt20-turbo</t>
        </is>
      </c>
      <c r="B9" t="inlineStr">
        <is>
          <t>long2short</t>
        </is>
      </c>
      <c r="C9" t="inlineStr">
        <is>
          <t>WAV</t>
        </is>
      </c>
      <c r="D9" t="inlineStr">
        <is>
          <t>PASSED</t>
        </is>
      </c>
      <c r="E9" t="inlineStr">
        <is>
          <t>N/A</t>
        </is>
      </c>
      <c r="F9">
        <f>HYPERLINK("https://drive.google.com/file/d/10qIJnok6liHp-BR7Fph_HKVMzj_KP1tK/view?usp=drivesdk", "Open")</f>
        <v/>
      </c>
      <c r="G9">
        <f>HYPERLINK("https://drive.google.com/file/d/1KP5dDHpUMYr4bVrDpfUIRfGFBYJBuqgl/view?usp=drivesdk", "Open")</f>
        <v/>
      </c>
      <c r="H9" t="n">
        <v>1.682785099998</v>
      </c>
      <c r="I9" t="n">
        <v>0.2332452999980887</v>
      </c>
      <c r="J9" t="n">
        <v>1.048101299995324</v>
      </c>
      <c r="K9" t="n">
        <v>0.3881181000033394</v>
      </c>
      <c r="L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2026-02-12T08:31:46Z</dcterms:created>
  <dcterms:modified xsi:type="dcterms:W3CDTF">2026-02-12T08:31:46Z</dcterms:modified>
</cp:coreProperties>
</file>